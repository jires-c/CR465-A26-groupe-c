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Correction" sheetId="2" state="visible" r:id="rId2"/>
    <sheet name="Référentiel" sheetId="3" state="visible" r:id="rId3"/>
    <sheet name="Consignes" sheetId="4" state="visible" r:id="rId4"/>
  </sheets>
  <definedNames/>
</workbook>
</file>

<file path=xl/styles.xml><?xml version="1.0" encoding="utf-8"?>
<styleSheet xmlns="http://schemas.openxmlformats.org/spreadsheetml/2006/main">
  <numFmts count="1">
    <numFmt numFmtId="164" formatCode="0.0%"/>
  </numFmts>
  <fonts count="9">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Calibri"/>
      <b val="1"/>
      <color indexed="12"/>
      <sz val="16"/>
    </font>
    <font>
      <name val="Calibri"/>
      <b val="1"/>
      <color indexed="12"/>
      <sz val="11"/>
    </font>
    <font>
      <name val="Helvetica Neue"/>
      <color indexed="8"/>
      <sz val="11"/>
    </font>
  </fonts>
  <fills count="10">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s>
  <borders count="34">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right/>
      <top/>
      <bottom style="thin">
        <color indexed="16"/>
      </bottom>
      <diagonal/>
    </border>
    <border>
      <left/>
      <right style="thin">
        <color indexed="14"/>
      </right>
      <top/>
      <bottom style="thin">
        <color indexed="16"/>
      </bottom>
      <diagonal/>
    </border>
    <border>
      <left style="thin">
        <color indexed="14"/>
      </left>
      <right/>
      <top/>
      <bottom style="medium">
        <color indexed="13"/>
      </bottom>
      <diagonal/>
    </border>
    <border>
      <left/>
      <right/>
      <top style="thin">
        <color indexed="16"/>
      </top>
      <bottom style="medium">
        <color indexed="13"/>
      </bottom>
      <diagonal/>
    </border>
    <border>
      <left/>
      <right/>
      <top/>
      <bottom style="medium">
        <color indexed="13"/>
      </bottom>
      <diagonal/>
    </border>
    <border>
      <left/>
      <right style="thin">
        <color indexed="14"/>
      </right>
      <top style="thin">
        <color indexed="16"/>
      </top>
      <bottom style="medium">
        <color indexed="13"/>
      </bottom>
      <diagonal/>
    </border>
    <border>
      <left style="thin">
        <color indexed="16"/>
      </left>
      <right style="thin">
        <color indexed="16"/>
      </right>
      <top style="medium">
        <color indexed="13"/>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thin">
        <color indexed="16"/>
      </top>
      <bottom style="medium">
        <color indexed="13"/>
      </bottom>
      <diagonal/>
    </border>
    <border>
      <left style="thin">
        <color indexed="16"/>
      </left>
      <right style="thin">
        <color indexed="16"/>
      </right>
      <top style="medium">
        <color indexed="13"/>
      </top>
      <bottom style="medium">
        <color indexed="13"/>
      </bottom>
      <diagonal/>
    </border>
    <border>
      <left style="thin">
        <color indexed="16"/>
      </left>
      <right style="thin">
        <color indexed="16"/>
      </right>
      <top style="medium">
        <color indexed="13"/>
      </top>
      <bottom/>
      <diagonal/>
    </border>
    <border>
      <left style="thin">
        <color indexed="16"/>
      </left>
      <right style="thin">
        <color indexed="14"/>
      </right>
      <top style="medium">
        <color indexed="13"/>
      </top>
      <bottom/>
      <diagonal/>
    </border>
    <border>
      <left style="thin">
        <color indexed="14"/>
      </left>
      <right/>
      <top style="thin">
        <color indexed="16"/>
      </top>
      <bottom/>
      <diagonal/>
    </border>
    <border>
      <left/>
      <right/>
      <top style="thin">
        <color indexed="16"/>
      </top>
      <bottom/>
      <diagonal/>
    </border>
    <border>
      <left style="thin">
        <color indexed="14"/>
      </left>
      <right/>
      <top/>
      <bottom style="thin">
        <color indexed="16"/>
      </bottom>
      <diagonal/>
    </border>
    <border>
      <left style="thin">
        <color indexed="16"/>
      </left>
      <right/>
      <top/>
      <bottom/>
      <diagonal/>
    </border>
    <border>
      <left style="thin">
        <color indexed="16"/>
      </left>
      <right/>
      <top/>
      <bottom style="thin">
        <color indexed="14"/>
      </bottom>
      <diagonal/>
    </border>
    <border>
      <left/>
      <right/>
      <top/>
      <bottom style="thin">
        <color indexed="14"/>
      </bottom>
      <diagonal/>
    </border>
    <border>
      <left/>
      <right style="thin">
        <color indexed="14"/>
      </right>
      <top/>
      <bottom style="thin">
        <color indexed="14"/>
      </bottom>
      <diagonal/>
    </border>
    <border>
      <left/>
      <right style="thin">
        <color indexed="14"/>
      </right>
      <top/>
      <bottom style="medium">
        <color indexed="13"/>
      </bottom>
      <diagonal/>
    </border>
    <border>
      <left style="thin">
        <color indexed="16"/>
      </left>
      <right style="thin">
        <color indexed="14"/>
      </right>
      <top/>
      <bottom/>
      <diagonal/>
    </border>
    <border>
      <left style="thin">
        <color indexed="14"/>
      </left>
      <right/>
      <top/>
      <bottom style="thin">
        <color indexed="14"/>
      </bottom>
      <diagonal/>
    </border>
    <border>
      <left/>
      <right style="thin">
        <color indexed="16"/>
      </right>
      <top style="thin">
        <color indexed="16"/>
      </top>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n">
        <color indexed="14"/>
      </left>
      <right style="thin">
        <color indexed="14"/>
      </right>
      <top style="thin">
        <color indexed="14"/>
      </top>
      <bottom/>
      <diagonal/>
    </border>
    <border>
      <left style="thin">
        <color indexed="14"/>
      </left>
      <right style="thin">
        <color indexed="14"/>
      </right>
      <top/>
      <bottom style="thin">
        <color indexed="16"/>
      </bottom>
      <diagonal/>
    </border>
  </borders>
  <cellStyleXfs count="1">
    <xf numFmtId="0" fontId="0" fillId="0" borderId="5" applyAlignment="1">
      <alignment vertical="bottom"/>
    </xf>
  </cellStyleXfs>
  <cellXfs count="76">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horizontal="center" vertical="center"/>
    </xf>
    <xf numFmtId="0" fontId="0" fillId="0" borderId="2" applyAlignment="1" pivotButton="0" quotePrefix="0" xfId="0">
      <alignment vertical="bottom"/>
    </xf>
    <xf numFmtId="0" fontId="0" fillId="0" borderId="3" applyAlignment="1" pivotButton="0" quotePrefix="0" xfId="0">
      <alignment vertical="bottom"/>
    </xf>
    <xf numFmtId="0" fontId="0" fillId="0" borderId="4" applyAlignment="1" pivotButton="0" quotePrefix="0" xfId="0">
      <alignment vertical="bottom"/>
    </xf>
    <xf numFmtId="0" fontId="0" fillId="0" borderId="5" applyAlignment="1" pivotButton="0" quotePrefix="0" xfId="0">
      <alignment vertical="bottom"/>
    </xf>
    <xf numFmtId="0" fontId="0" fillId="0" borderId="6" applyAlignment="1" pivotButton="0" quotePrefix="0" xfId="0">
      <alignment vertical="bottom"/>
    </xf>
    <xf numFmtId="49" fontId="7" fillId="4" borderId="4" applyAlignment="1" pivotButton="0" quotePrefix="0" xfId="0">
      <alignment horizontal="center" vertical="bottom"/>
    </xf>
    <xf numFmtId="0" fontId="0" fillId="5" borderId="7" applyAlignment="1" pivotButton="0" quotePrefix="0" xfId="0">
      <alignment vertical="bottom"/>
    </xf>
    <xf numFmtId="49" fontId="7" fillId="4" borderId="5" applyAlignment="1" pivotButton="0" quotePrefix="0" xfId="0">
      <alignment horizontal="center" vertical="bottom"/>
    </xf>
    <xf numFmtId="0" fontId="0" fillId="5" borderId="8" applyAlignment="1" pivotButton="0" quotePrefix="0" xfId="0">
      <alignment vertical="bottom"/>
    </xf>
    <xf numFmtId="0" fontId="0" fillId="0" borderId="9" applyAlignment="1" pivotButton="0" quotePrefix="0" xfId="0">
      <alignment vertical="bottom"/>
    </xf>
    <xf numFmtId="0" fontId="0" fillId="0" borderId="10" applyAlignment="1" pivotButton="0" quotePrefix="0" xfId="0">
      <alignment vertical="bottom"/>
    </xf>
    <xf numFmtId="0" fontId="0" fillId="0" borderId="11" applyAlignment="1" pivotButton="0" quotePrefix="0" xfId="0">
      <alignment vertical="bottom"/>
    </xf>
    <xf numFmtId="0" fontId="0" fillId="0" borderId="12" applyAlignment="1" pivotButton="0" quotePrefix="0" xfId="0">
      <alignment vertical="bottom"/>
    </xf>
    <xf numFmtId="49" fontId="7" fillId="4" borderId="13" applyAlignment="1" pivotButton="0" quotePrefix="0" xfId="0">
      <alignment horizontal="center" vertical="center" wrapText="1"/>
    </xf>
    <xf numFmtId="49" fontId="0" fillId="6" borderId="14" applyAlignment="1" pivotButton="0" quotePrefix="0" xfId="0">
      <alignment vertical="top" wrapText="1"/>
    </xf>
    <xf numFmtId="0" fontId="0" fillId="7" borderId="14" applyAlignment="1" pivotButton="0" quotePrefix="0" xfId="0">
      <alignment horizontal="center" vertical="center"/>
    </xf>
    <xf numFmtId="0" fontId="0" fillId="7" borderId="14" applyAlignment="1" pivotButton="0" quotePrefix="0" xfId="0">
      <alignment horizontal="center" vertical="center"/>
    </xf>
    <xf numFmtId="0" fontId="0" fillId="7" borderId="14" applyAlignment="1" pivotButton="0" quotePrefix="0" xfId="0">
      <alignment horizontal="center" vertical="center" wrapText="1"/>
    </xf>
    <xf numFmtId="0" fontId="0" fillId="7" borderId="14" applyAlignment="1" pivotButton="0" quotePrefix="0" xfId="0">
      <alignment vertical="top" wrapText="1"/>
    </xf>
    <xf numFmtId="49" fontId="0" fillId="6" borderId="15" applyAlignment="1" pivotButton="0" quotePrefix="0" xfId="0">
      <alignment vertical="top" wrapText="1"/>
    </xf>
    <xf numFmtId="0" fontId="0" fillId="7" borderId="15" applyAlignment="1" pivotButton="0" quotePrefix="0" xfId="0">
      <alignment horizontal="center" vertical="center"/>
    </xf>
    <xf numFmtId="0" fontId="0" fillId="7" borderId="15" applyAlignment="1" pivotButton="0" quotePrefix="0" xfId="0">
      <alignment horizontal="center" vertical="center"/>
    </xf>
    <xf numFmtId="0" fontId="0" fillId="7" borderId="15" applyAlignment="1" pivotButton="0" quotePrefix="0" xfId="0">
      <alignment horizontal="center" vertical="center" wrapText="1"/>
    </xf>
    <xf numFmtId="0" fontId="0" fillId="7" borderId="15" applyAlignment="1" pivotButton="0" quotePrefix="0" xfId="0">
      <alignment vertical="top" wrapText="1"/>
    </xf>
    <xf numFmtId="49" fontId="7" fillId="4" borderId="13" applyAlignment="1" pivotButton="0" quotePrefix="0" xfId="0">
      <alignment horizontal="left" vertical="center"/>
    </xf>
    <xf numFmtId="0" fontId="7" fillId="4" borderId="13" applyAlignment="1" pivotButton="0" quotePrefix="0" xfId="0">
      <alignment horizontal="center" vertical="center"/>
    </xf>
    <xf numFmtId="0" fontId="7" fillId="4" borderId="16" applyAlignment="1" pivotButton="0" quotePrefix="0" xfId="0">
      <alignment horizontal="center" vertical="center"/>
    </xf>
    <xf numFmtId="0" fontId="7" fillId="4" borderId="13" applyAlignment="1" pivotButton="0" quotePrefix="0" xfId="0">
      <alignment horizontal="left" vertical="center"/>
    </xf>
    <xf numFmtId="0" fontId="7" fillId="4" borderId="16" applyAlignment="1" pivotButton="0" quotePrefix="0" xfId="0">
      <alignment horizontal="left" vertical="center"/>
    </xf>
    <xf numFmtId="0" fontId="7" fillId="4" borderId="14" applyAlignment="1" pivotButton="0" quotePrefix="0" xfId="0">
      <alignment horizontal="center" vertical="center"/>
    </xf>
    <xf numFmtId="0" fontId="0" fillId="5" borderId="14" applyAlignment="1" pivotButton="0" quotePrefix="0" xfId="0">
      <alignment horizontal="center" vertical="center"/>
    </xf>
    <xf numFmtId="0" fontId="0" fillId="0" borderId="17" applyAlignment="1" pivotButton="0" quotePrefix="0" xfId="0">
      <alignment vertical="bottom"/>
    </xf>
    <xf numFmtId="0" fontId="0" fillId="0" borderId="18" applyAlignment="1" pivotButton="0" quotePrefix="0" xfId="0">
      <alignment vertical="bottom"/>
    </xf>
    <xf numFmtId="49" fontId="0" fillId="0" borderId="19" applyAlignment="1" pivotButton="0" quotePrefix="0" xfId="0">
      <alignment vertical="bottom"/>
    </xf>
    <xf numFmtId="164" fontId="0" fillId="0" borderId="20" applyAlignment="1" pivotButton="0" quotePrefix="0" xfId="0">
      <alignment vertical="bottom"/>
    </xf>
    <xf numFmtId="49" fontId="0" fillId="0" borderId="20" applyAlignment="1" pivotButton="0" quotePrefix="0" xfId="0">
      <alignment vertical="bottom"/>
    </xf>
    <xf numFmtId="0" fontId="0" fillId="0" borderId="20" applyAlignment="1" pivotButton="0" quotePrefix="0" xfId="0">
      <alignment vertical="bottom"/>
    </xf>
    <xf numFmtId="49" fontId="7" fillId="8" borderId="21" applyAlignment="1" pivotButton="0" quotePrefix="0" xfId="0">
      <alignment horizontal="center" vertical="bottom"/>
    </xf>
    <xf numFmtId="49" fontId="0" fillId="9" borderId="14" applyAlignment="1" pivotButton="0" quotePrefix="0" xfId="0">
      <alignment vertical="center" wrapText="1"/>
    </xf>
    <xf numFmtId="0" fontId="0" fillId="0" borderId="22" applyAlignment="1" pivotButton="0" quotePrefix="0" xfId="0">
      <alignment vertical="bottom"/>
    </xf>
    <xf numFmtId="0" fontId="0" fillId="0" borderId="23" applyAlignment="1" pivotButton="0" quotePrefix="0" xfId="0">
      <alignment vertical="bottom"/>
    </xf>
    <xf numFmtId="0" fontId="0" fillId="0" borderId="24" applyAlignment="1" pivotButton="0" quotePrefix="0" xfId="0">
      <alignment vertical="bottom"/>
    </xf>
    <xf numFmtId="0" fontId="0" fillId="0" borderId="25" applyAlignment="1" pivotButton="0" quotePrefix="0" xfId="0">
      <alignment vertical="bottom"/>
    </xf>
    <xf numFmtId="0" fontId="0" fillId="0" borderId="0" applyAlignment="1" pivotButton="0" quotePrefix="0" xfId="0">
      <alignment vertical="bottom"/>
    </xf>
    <xf numFmtId="49" fontId="6" fillId="4" borderId="1" applyAlignment="1" pivotButton="0" quotePrefix="0" xfId="0">
      <alignment horizontal="center" vertical="bottom"/>
    </xf>
    <xf numFmtId="0" fontId="0" fillId="0" borderId="26" applyAlignment="1" pivotButton="0" quotePrefix="0" xfId="0">
      <alignment vertical="bottom"/>
    </xf>
    <xf numFmtId="49" fontId="7" fillId="4" borderId="13" applyAlignment="1" pivotButton="0" quotePrefix="0" xfId="0">
      <alignment horizontal="center" vertical="bottom" wrapText="1"/>
    </xf>
    <xf numFmtId="49" fontId="0" fillId="7" borderId="14" applyAlignment="1" pivotButton="0" quotePrefix="0" xfId="0">
      <alignment vertical="top" wrapText="1"/>
    </xf>
    <xf numFmtId="0" fontId="0" fillId="7" borderId="14" applyAlignment="1" pivotButton="0" quotePrefix="0" xfId="0">
      <alignment vertical="top" wrapText="1"/>
    </xf>
    <xf numFmtId="0" fontId="0" fillId="0" borderId="0" applyAlignment="1" pivotButton="0" quotePrefix="0" xfId="0">
      <alignment vertical="bottom"/>
    </xf>
    <xf numFmtId="0" fontId="0" fillId="0" borderId="21" applyAlignment="1" pivotButton="0" quotePrefix="0" xfId="0">
      <alignment vertical="bottom"/>
    </xf>
    <xf numFmtId="0" fontId="0" fillId="0" borderId="7" applyAlignment="1" pivotButton="0" quotePrefix="0" xfId="0">
      <alignment vertical="bottom"/>
    </xf>
    <xf numFmtId="49" fontId="7" fillId="4" borderId="14" applyAlignment="1" pivotButton="0" quotePrefix="0" xfId="0">
      <alignment vertical="top" wrapText="1"/>
    </xf>
    <xf numFmtId="0" fontId="0" fillId="0" borderId="27" applyAlignment="1" pivotButton="0" quotePrefix="0" xfId="0">
      <alignment vertical="bottom"/>
    </xf>
    <xf numFmtId="0" fontId="0" fillId="0" borderId="19" applyAlignment="1" pivotButton="0" quotePrefix="0" xfId="0">
      <alignment vertical="bottom"/>
    </xf>
    <xf numFmtId="0" fontId="0" fillId="0" borderId="28" applyAlignment="1" pivotButton="0" quotePrefix="0" xfId="0">
      <alignment vertical="bottom"/>
    </xf>
    <xf numFmtId="0" fontId="0" fillId="0" borderId="0" pivotButton="0" quotePrefix="0" xfId="0"/>
    <xf numFmtId="0" fontId="1" fillId="0" borderId="5" applyAlignment="1" pivotButton="0" quotePrefix="0" xfId="0">
      <alignment horizontal="left" vertical="bottom" wrapText="1"/>
    </xf>
    <xf numFmtId="49" fontId="6" fillId="4" borderId="32" applyAlignment="1" pivotButton="0" quotePrefix="0" xfId="0">
      <alignment horizontal="center" vertical="center"/>
    </xf>
    <xf numFmtId="0" fontId="0" fillId="0" borderId="2" pivotButton="0" quotePrefix="0" xfId="0"/>
    <xf numFmtId="0" fontId="0" fillId="0" borderId="3" pivotButton="0" quotePrefix="0" xfId="0"/>
    <xf numFmtId="164" fontId="0" fillId="0" borderId="20" applyAlignment="1" pivotButton="0" quotePrefix="0" xfId="0">
      <alignment vertical="bottom"/>
    </xf>
    <xf numFmtId="49" fontId="7" fillId="8" borderId="33" applyAlignment="1" pivotButton="0" quotePrefix="0" xfId="0">
      <alignment horizontal="center" vertical="bottom"/>
    </xf>
    <xf numFmtId="0" fontId="0" fillId="0" borderId="7" pivotButton="0" quotePrefix="0" xfId="0"/>
    <xf numFmtId="0" fontId="0" fillId="0" borderId="8" pivotButton="0" quotePrefix="0" xfId="0"/>
    <xf numFmtId="0" fontId="0" fillId="0" borderId="30" pivotButton="0" quotePrefix="0" xfId="0"/>
    <xf numFmtId="0" fontId="0" fillId="0" borderId="31" pivotButton="0" quotePrefix="0" xfId="0"/>
    <xf numFmtId="49" fontId="6" fillId="4" borderId="32" applyAlignment="1" pivotButton="0" quotePrefix="0" xfId="0">
      <alignment horizontal="center"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f7fbfe"/>
      <rgbColor rgb="ffb7c9d6"/>
      <rgbColor rgb="ffeaf3f8"/>
      <rgbColor rgb="ff9c0006"/>
      <rgbColor rgb="fffde9e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Perplexity</author>
  </authors>
  <commentList>
    <comment ref="C6" authorId="0" shapeId="0">
      <text>
        <t>Perplexity:
Entrer une note de 0 à 5.</t>
      </text>
    </comment>
    <comment ref="C7" authorId="0" shapeId="0">
      <text>
        <t>Perplexity:
Entrer une note de 0 à 5.</t>
      </text>
    </comment>
    <comment ref="C8" authorId="0" shapeId="0">
      <text>
        <t>Perplexity:
Entrer une note de 0 à 4.</t>
      </text>
    </comment>
    <comment ref="C9" authorId="0" shapeId="0">
      <text>
        <t>Perplexity:
Entrer une note de 0 à 4.</t>
      </text>
    </comment>
    <comment ref="C10" authorId="0" shapeId="0">
      <text>
        <t>Perplexity:
Entrer une note de 0 à 5.</t>
      </text>
    </comment>
    <comment ref="C11" authorId="0" shapeId="0">
      <text>
        <t>Perplexity:
Entrer une note de 0 à 4.</t>
      </text>
    </comment>
    <comment ref="C12" authorId="0" shapeId="0">
      <text>
        <t>Perplexity:
Entrer une note de 0 à 4.</t>
      </text>
    </comment>
    <comment ref="C13" authorId="0" shapeId="0">
      <text>
        <t>Perplexity:
Entrer une note de 0 à 4.</t>
      </text>
    </comment>
    <comment ref="C14" authorId="0" shapeId="0">
      <text>
        <t>Perplexity:
Entrer une note de 0 à 2.</t>
      </text>
    </comment>
    <comment ref="C15" authorId="0" shapeId="0">
      <text>
        <t>Perplexity:
Entrer une note de 0 à 2.</t>
      </text>
    </comment>
    <comment ref="C16" authorId="0" shapeId="0">
      <text>
        <t>Perplexity:
Entrer une note de 0 à 5.</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64" min="1" max="1"/>
    <col width="30.5547" customWidth="1" style="64" min="2" max="4"/>
  </cols>
  <sheetData>
    <row r="3" ht="50" customHeight="1" s="64">
      <c r="B3" s="65"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Correction</t>
        </is>
      </c>
      <c r="C9" s="3" t="n"/>
      <c r="D9" s="3" t="n"/>
    </row>
    <row r="10">
      <c r="B10" s="4" t="n"/>
      <c r="C10" s="4" t="inlineStr">
        <is>
          <t>Table 1</t>
        </is>
      </c>
      <c r="D10" s="5" t="inlineStr">
        <is>
          <t>Correction</t>
        </is>
      </c>
    </row>
    <row r="11">
      <c r="B11" s="3" t="inlineStr">
        <is>
          <t>Référentiel</t>
        </is>
      </c>
      <c r="C11" s="3" t="n"/>
      <c r="D11" s="3" t="n"/>
    </row>
    <row r="12">
      <c r="B12" s="4" t="n"/>
      <c r="C12" s="4" t="inlineStr">
        <is>
          <t>Table 1</t>
        </is>
      </c>
      <c r="D12" s="5" t="inlineStr">
        <is>
          <t>Référentiel</t>
        </is>
      </c>
    </row>
    <row r="13">
      <c r="B13" s="3" t="inlineStr">
        <is>
          <t>Consignes</t>
        </is>
      </c>
      <c r="C13" s="3" t="n"/>
      <c r="D13" s="3" t="n"/>
    </row>
    <row r="14">
      <c r="B14" s="4" t="n"/>
      <c r="C14" s="4" t="inlineStr">
        <is>
          <t>Table 1</t>
        </is>
      </c>
      <c r="D14" s="5" t="inlineStr">
        <is>
          <t>Consignes</t>
        </is>
      </c>
    </row>
  </sheetData>
  <mergeCells count="1">
    <mergeCell ref="B3:D3"/>
  </mergeCells>
  <hyperlinks>
    <hyperlink ref="D10" location="'Correction'!R1C1" tooltip="" display="Correction"/>
    <hyperlink ref="D12" location="'Référentiel'!R1C1" tooltip="" display="Référentiel"/>
    <hyperlink ref="D14" location="'Consignes'!R1C1" tooltip="" display="Consignes"/>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29"/>
  <sheetViews>
    <sheetView showGridLines="0" defaultGridColor="1" workbookViewId="0">
      <selection activeCell="A1" sqref="A1"/>
    </sheetView>
  </sheetViews>
  <sheetFormatPr baseColWidth="8" defaultColWidth="8.83333" defaultRowHeight="15" customHeight="1" outlineLevelRow="0"/>
  <cols>
    <col width="35" customWidth="1" style="57" min="1" max="1"/>
    <col width="10" customWidth="1" style="57" min="2" max="2"/>
    <col width="14" customWidth="1" style="57" min="3" max="3"/>
    <col width="17" customWidth="1" style="57" min="4" max="4"/>
    <col width="42" customWidth="1" style="57" min="5" max="5"/>
    <col width="48" customWidth="1" style="57" min="6" max="6"/>
    <col width="8.851559999999999" customWidth="1" style="57" min="7" max="16384"/>
  </cols>
  <sheetData>
    <row r="1" ht="28" customHeight="1" s="64">
      <c r="A1" s="66" t="inlineStr">
        <is>
          <t>Grille de correction — plateforme pédagogique conteneurisée</t>
        </is>
      </c>
      <c r="B1" s="67" t="n"/>
      <c r="C1" s="67" t="n"/>
      <c r="D1" s="67" t="n"/>
      <c r="E1" s="67" t="n"/>
      <c r="F1" s="68" t="n"/>
    </row>
    <row r="2" ht="13.55" customHeight="1" s="64">
      <c r="A2" s="10" t="n"/>
      <c r="B2" s="11" t="n"/>
      <c r="C2" s="11" t="n"/>
      <c r="D2" s="11" t="n"/>
      <c r="E2" s="11" t="n"/>
      <c r="F2" s="12" t="n"/>
    </row>
    <row r="3" ht="13.55" customHeight="1" s="64">
      <c r="A3" s="13" t="inlineStr">
        <is>
          <t>Équipe</t>
        </is>
      </c>
      <c r="B3" s="14" t="n"/>
      <c r="C3" s="15" t="inlineStr">
        <is>
          <t>Correcteur</t>
        </is>
      </c>
      <c r="D3" s="14" t="n"/>
      <c r="E3" s="15" t="inlineStr">
        <is>
          <t>Date</t>
        </is>
      </c>
      <c r="F3" s="16" t="n"/>
    </row>
    <row r="4" ht="14.05" customHeight="1" s="64">
      <c r="A4" s="17" t="n"/>
      <c r="B4" s="18" t="n"/>
      <c r="C4" s="19" t="n"/>
      <c r="D4" s="18" t="n"/>
      <c r="E4" s="19" t="n"/>
      <c r="F4" s="20" t="n"/>
    </row>
    <row r="5" ht="34" customHeight="1" s="64">
      <c r="A5" s="21" t="inlineStr">
        <is>
          <t>Critère</t>
        </is>
      </c>
      <c r="B5" s="21" t="inlineStr">
        <is>
          <t>Maximum</t>
        </is>
      </c>
      <c r="C5" s="21" t="inlineStr">
        <is>
          <t>Note attribuée</t>
        </is>
      </c>
      <c r="D5" s="21" t="inlineStr">
        <is>
          <t>Niveau</t>
        </is>
      </c>
      <c r="E5" s="21" t="inlineStr">
        <is>
          <t>Commentaires / preuves observées</t>
        </is>
      </c>
      <c r="F5" s="21" t="inlineStr">
        <is>
          <t>Indicateurs clés</t>
        </is>
      </c>
    </row>
    <row r="6" ht="58" customHeight="1" s="64">
      <c r="A6" s="22" t="inlineStr">
        <is>
          <t>VM as Code avec cloud-init</t>
        </is>
      </c>
      <c r="B6" s="24" t="n">
        <v>5</v>
      </c>
      <c r="C6" s="24" t="n"/>
      <c r="D6" s="25" t="n"/>
      <c r="E6" s="56" t="n"/>
      <c r="F6" s="22" t="inlineStr">
        <is>
          <t>Présence d'un vrai fichier cloud-init, utilité réelle, automatisation de l'utilisateur, SSH, mises à jour, Docker, pare-feu hôte, préparation de l'hôte.</t>
        </is>
      </c>
    </row>
    <row r="7" ht="58" customHeight="1" s="64">
      <c r="A7" s="22" t="inlineStr">
        <is>
          <t>Architecture et schéma</t>
        </is>
      </c>
      <c r="B7" s="24" t="n">
        <v>5</v>
      </c>
      <c r="C7" s="24" t="n"/>
      <c r="D7" s="25" t="n"/>
      <c r="E7" s="56" t="n"/>
      <c r="F7" s="22" t="inlineStr">
        <is>
          <t>Lisibilité, cohérence, zones de confiance, flux, exposition, parcours métier.</t>
        </is>
      </c>
    </row>
    <row r="8" ht="58" customHeight="1" s="64">
      <c r="A8" s="22" t="inlineStr">
        <is>
          <t>Déploiement conteneurisé</t>
        </is>
      </c>
      <c r="B8" s="24" t="n">
        <v>3</v>
      </c>
      <c r="C8" s="24" t="n"/>
      <c r="D8" s="25" t="n"/>
      <c r="E8" s="56" t="n"/>
      <c r="F8" s="22" t="inlineStr">
        <is>
          <t>Qualité de la stack Docker Compose, structure, dépendances, reproductibilité (bonus qualitatif si Opencast ou Redis intégrés).</t>
        </is>
      </c>
    </row>
    <row r="9" ht="58" customHeight="1" s="64">
      <c r="A9" s="22" t="inlineStr">
        <is>
          <t>Sécurité des images</t>
        </is>
      </c>
      <c r="B9" s="24" t="n">
        <v>3</v>
      </c>
      <c r="C9" s="24" t="n"/>
      <c r="D9" s="25" t="n"/>
      <c r="E9" s="56" t="n"/>
      <c r="F9" s="22" t="inlineStr">
        <is>
          <t>Versions explicites, choix d'images, scan local/hors-ligne (ex. Trivy, Grype) sans dépendance à un service cloud, provenance.</t>
        </is>
      </c>
    </row>
    <row r="10" ht="58" customHeight="1" s="64">
      <c r="A10" s="22" t="inlineStr">
        <is>
          <t>Sécurité à l'exécution</t>
        </is>
      </c>
      <c r="B10" s="24" t="n">
        <v>5</v>
      </c>
      <c r="C10" s="24" t="n"/>
      <c r="D10" s="25" t="n"/>
      <c r="E10" s="56" t="n"/>
      <c r="F10" s="22" t="inlineStr">
        <is>
          <t>Non-root, absence de mode privilégié, réduction des privilèges, options de sécurité, montages prudents, ressources.</t>
        </is>
      </c>
    </row>
    <row r="11" ht="58" customHeight="1" s="64">
      <c r="A11" s="22" t="inlineStr">
        <is>
          <t>Segmentation réseau</t>
        </is>
      </c>
      <c r="B11" s="24" t="n">
        <v>3</v>
      </c>
      <c r="C11" s="24" t="n"/>
      <c r="D11" s="25" t="n"/>
      <c r="E11" s="56" t="n"/>
      <c r="F11" s="22" t="inlineStr">
        <is>
          <t>Réseaux d'exposition, applicatifs, données, exposition minimale, flux justifiés.</t>
        </is>
      </c>
    </row>
    <row r="12" ht="58" customHeight="1" s="64">
      <c r="A12" s="22" t="inlineStr">
        <is>
          <t>Intégration Drupal Commerce → n8n → Moodle</t>
        </is>
      </c>
      <c r="B12" s="24" t="n">
        <v>3</v>
      </c>
      <c r="C12" s="24" t="n"/>
      <c r="D12" s="25" t="n"/>
      <c r="E12" s="56" t="n"/>
      <c r="F12" s="22" t="inlineStr">
        <is>
          <t>Cohérence du parcours métier, vente, automatisation, attribution d'accès, démonstration.</t>
        </is>
      </c>
    </row>
    <row r="13" ht="58" customHeight="1" s="64">
      <c r="A13" s="22" t="inlineStr">
        <is>
          <t>IAM et SSO</t>
        </is>
      </c>
      <c r="B13" s="24" t="n">
        <v>3</v>
      </c>
      <c r="C13" s="24" t="n"/>
      <c r="D13" s="25" t="n"/>
      <c r="E13" s="56" t="n"/>
      <c r="F13" s="22" t="inlineStr">
        <is>
          <t>Keycloak, SSO Moodle, compréhension des flux d'authentification.</t>
        </is>
      </c>
    </row>
    <row r="14" ht="58" customHeight="1" s="64">
      <c r="A14" s="22" t="inlineStr">
        <is>
          <t>Reverse proxy</t>
        </is>
      </c>
      <c r="B14" s="24" t="n">
        <v>3</v>
      </c>
      <c r="C14" s="24" t="n"/>
      <c r="D14" s="25" t="n"/>
      <c r="E14" s="56" t="n"/>
      <c r="F14" s="22" t="inlineStr">
        <is>
          <t>Rôle de Traefik, centralisation de l'exposition.</t>
        </is>
      </c>
    </row>
    <row r="15" ht="58" customHeight="1" s="64">
      <c r="A15" s="22" t="inlineStr">
        <is>
          <t>Observabilité et exploitation</t>
        </is>
      </c>
      <c r="B15" s="24" t="n">
        <v>3</v>
      </c>
      <c r="C15" s="24" t="n"/>
      <c r="D15" s="25" t="n"/>
      <c r="E15" s="56" t="n"/>
      <c r="F15" s="22" t="inlineStr">
        <is>
          <t>Usage de Portainer CE, états des conteneurs, journaux, diagnostic, éventuellement Grafana/Loki.</t>
        </is>
      </c>
    </row>
    <row r="16" ht="58" customHeight="1" s="64">
      <c r="A16" s="27" t="inlineStr">
        <is>
          <t>Qualité des livrables</t>
        </is>
      </c>
      <c r="B16" s="29" t="n">
        <v>4</v>
      </c>
      <c r="C16" s="29" t="n"/>
      <c r="D16" s="30" t="n"/>
      <c r="E16" s="31" t="n"/>
      <c r="F16" s="27" t="inlineStr">
        <is>
          <t>Vidéo M365 conforme, GitBook, GitHub, document Word/PPT, cohérence globale, traçabilité des contributions individuelles.</t>
        </is>
      </c>
    </row>
    <row r="17" ht="14.55" customHeight="1" s="64">
      <c r="A17" s="32" t="inlineStr">
        <is>
          <t>TOTAL</t>
        </is>
      </c>
      <c r="B17" s="33">
        <f t="array" ref="B17">SUM(B6:B16)</f>
        <v/>
      </c>
      <c r="C17" s="34">
        <f t="array" ref="C17">SUM(C6:C16)</f>
        <v/>
      </c>
      <c r="D17" s="35" t="n"/>
      <c r="E17" s="35" t="n"/>
      <c r="F17" s="36" t="n"/>
    </row>
    <row r="18" ht="14.05" customHeight="1" s="64">
      <c r="A18" s="37" t="n"/>
      <c r="B18" s="38" t="n"/>
      <c r="C18" s="39" t="n"/>
      <c r="D18" s="37" t="n"/>
      <c r="E18" s="38" t="n"/>
      <c r="F18" s="40" t="n"/>
    </row>
    <row r="19" ht="13.55" customHeight="1" s="64">
      <c r="A19" s="41" t="inlineStr">
        <is>
          <t>Résultat (%)</t>
        </is>
      </c>
      <c r="B19" s="69">
        <f t="array" ref="B19">C17/B17</f>
        <v/>
      </c>
      <c r="C19" s="11" t="n"/>
      <c r="D19" s="43" t="inlineStr">
        <is>
          <t>Appréciation</t>
        </is>
      </c>
      <c r="E19" s="44">
        <f t="array" ref="E19">IF(C17&gt;=36,"Excellent",IF(C17&gt;=28,"Satisfaisant",IF(C17&gt;=20,"Fragile","Insuffisant")))</f>
        <v/>
      </c>
      <c r="F19" s="12" t="n"/>
    </row>
    <row r="20" ht="13.55" customHeight="1" s="64">
      <c r="A20" s="22" t="inlineStr">
        <is>
          <t>Bonus — WAF (OpenAppSec)</t>
        </is>
      </c>
      <c r="B20" s="24" t="inlineStr">
        <is>
          <t>+2 (hors total)</t>
        </is>
      </c>
      <c r="C20" s="24" t="n"/>
      <c r="D20" s="25" t="n"/>
      <c r="E20" s="56" t="n"/>
      <c r="F20" s="22" t="inlineStr">
        <is>
          <t>Rôle d'OpenAppSec en mode local (sans compte cloud tiers), optionnel et non requis; +2 si fonctionnel et bien expliqué, +1 si partiel, 0 si absent ou en mode cloud.</t>
        </is>
      </c>
    </row>
    <row r="21" ht="13.55" customHeight="1" s="64">
      <c r="A21" s="70" t="inlineStr">
        <is>
          <t>Pénalités majeures à considérer</t>
        </is>
      </c>
      <c r="B21" s="71" t="n"/>
      <c r="C21" s="71" t="n"/>
      <c r="D21" s="71" t="n"/>
      <c r="E21" s="71" t="n"/>
      <c r="F21" s="72" t="n"/>
    </row>
    <row r="22" ht="13.55" customHeight="1" s="64">
      <c r="A22" s="46" t="inlineStr">
        <is>
          <t>• Secrets réels committés dans GitHub.</t>
        </is>
      </c>
      <c r="B22" s="73" t="n"/>
      <c r="C22" s="73" t="n"/>
      <c r="D22" s="73" t="n"/>
      <c r="E22" s="73" t="n"/>
      <c r="F22" s="74" t="n"/>
    </row>
    <row r="23" ht="13.55" customHeight="1" s="64">
      <c r="A23" s="46" t="inlineStr">
        <is>
          <t>• Conteneur applicatif en mode privilégié sans justification sérieuse.</t>
        </is>
      </c>
      <c r="B23" s="73" t="n"/>
      <c r="C23" s="73" t="n"/>
      <c r="D23" s="73" t="n"/>
      <c r="E23" s="73" t="n"/>
      <c r="F23" s="74" t="n"/>
    </row>
    <row r="24" ht="13.55" customHeight="1" s="64">
      <c r="A24" s="46" t="inlineStr">
        <is>
          <t>• Exposition publique directe de PostgreSQL, Redis, n8n ou d’une interface d’administration sensible.</t>
        </is>
      </c>
      <c r="B24" s="73" t="n"/>
      <c r="C24" s="73" t="n"/>
      <c r="D24" s="73" t="n"/>
      <c r="E24" s="73" t="n"/>
      <c r="F24" s="74" t="n"/>
    </row>
    <row r="25" ht="13.55" customHeight="1" s="64">
      <c r="A25" s="46" t="inlineStr">
        <is>
          <t>• Absence réelle de cloud-init malgré une revendication de VM as Code.</t>
        </is>
      </c>
      <c r="B25" s="73" t="n"/>
      <c r="C25" s="73" t="n"/>
      <c r="D25" s="73" t="n"/>
      <c r="E25" s="73" t="n"/>
      <c r="F25" s="74" t="n"/>
    </row>
    <row r="26" ht="13.55" customHeight="1" s="64">
      <c r="A26" s="46" t="inlineStr">
        <is>
          <t>• Vidéo dépassant 15 min 59 s.</t>
        </is>
      </c>
      <c r="B26" s="73" t="n"/>
      <c r="C26" s="73" t="n"/>
      <c r="D26" s="73" t="n"/>
      <c r="E26" s="73" t="n"/>
      <c r="F26" s="74" t="n"/>
    </row>
    <row r="27">
      <c r="A27" s="46" t="inlineStr">
        <is>
          <t>• Dépôt GitHub inutilisable, incomplet ou non reproductible.</t>
        </is>
      </c>
      <c r="B27" s="73" t="n"/>
      <c r="C27" s="73" t="n"/>
      <c r="D27" s="73" t="n"/>
      <c r="E27" s="73" t="n"/>
      <c r="F27" s="74" t="n"/>
    </row>
    <row r="28">
      <c r="A28" s="46" t="inlineStr">
        <is>
          <t>• Incapacité d'expliquer les réseaux, les flux ou les dépendances (pénalité sur les critères concernés).</t>
        </is>
      </c>
      <c r="B28" s="73" t="n"/>
      <c r="C28" s="73" t="n"/>
      <c r="D28" s="73" t="n"/>
      <c r="E28" s="73" t="n"/>
      <c r="F28" s="74" t="n"/>
    </row>
    <row r="29">
      <c r="A29" s="46" t="inlineStr">
        <is>
          <t>• Contributions individuelles non identifiables (-1 à -2 points sur Qualité des livrables).</t>
        </is>
      </c>
      <c r="B29" s="73" t="n"/>
      <c r="C29" s="73" t="n"/>
      <c r="D29" s="73" t="n"/>
      <c r="E29" s="73" t="n"/>
      <c r="F29" s="74" t="n"/>
    </row>
  </sheetData>
  <mergeCells count="10">
    <mergeCell ref="A24:F24"/>
    <mergeCell ref="A28:F28"/>
    <mergeCell ref="A1:F1"/>
    <mergeCell ref="A23:F23"/>
    <mergeCell ref="A27:F27"/>
    <mergeCell ref="A22:F22"/>
    <mergeCell ref="A26:F26"/>
    <mergeCell ref="A21:F21"/>
    <mergeCell ref="A29:F29"/>
    <mergeCell ref="A25:F25"/>
  </mergeCells>
  <dataValidations count="1">
    <dataValidation sqref="D6:D16" showDropDown="0" showInputMessage="1" showErrorMessage="1" allowBlank="1" type="list">
      <formula1>"Excellent,Satisfaisant,Fragile,Insuffisant"</formula1>
    </dataValidation>
  </dataValidations>
  <pageMargins left="0.75" right="0.75" top="1" bottom="1" header="0.5" footer="0.5"/>
  <pageSetup orientation="landscape"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F15"/>
  <sheetViews>
    <sheetView showGridLines="0" defaultGridColor="1" workbookViewId="0">
      <selection activeCell="A1" sqref="A1"/>
    </sheetView>
  </sheetViews>
  <sheetFormatPr baseColWidth="8" defaultColWidth="8.83333" defaultRowHeight="15" customHeight="1" outlineLevelRow="0"/>
  <cols>
    <col width="37" customWidth="1" style="57" min="1" max="1"/>
    <col width="35" customWidth="1" style="57" min="2" max="5"/>
    <col width="10" customWidth="1" style="57" min="6" max="6"/>
    <col width="8.851559999999999" customWidth="1" style="57" min="7" max="16384"/>
  </cols>
  <sheetData>
    <row r="1" ht="19.45" customHeight="1" s="64">
      <c r="A1" s="75" t="inlineStr">
        <is>
          <t>Référentiel des niveaux de performance</t>
        </is>
      </c>
      <c r="B1" s="67" t="n"/>
      <c r="C1" s="67" t="n"/>
      <c r="D1" s="67" t="n"/>
      <c r="E1" s="67" t="n"/>
      <c r="F1" s="68" t="n"/>
    </row>
    <row r="2" ht="14.05" customHeight="1" s="64">
      <c r="A2" s="17" t="n"/>
      <c r="B2" s="19" t="n"/>
      <c r="C2" s="19" t="n"/>
      <c r="D2" s="19" t="n"/>
      <c r="E2" s="19" t="n"/>
      <c r="F2" s="53" t="n"/>
    </row>
    <row r="3" ht="14.05" customHeight="1" s="64">
      <c r="A3" s="54" t="inlineStr">
        <is>
          <t>Critère</t>
        </is>
      </c>
      <c r="B3" s="54" t="inlineStr">
        <is>
          <t>Excellent</t>
        </is>
      </c>
      <c r="C3" s="54" t="inlineStr">
        <is>
          <t>Satisfaisant</t>
        </is>
      </c>
      <c r="D3" s="54" t="inlineStr">
        <is>
          <t>Fragile</t>
        </is>
      </c>
      <c r="E3" s="54" t="inlineStr">
        <is>
          <t>Insuffisant</t>
        </is>
      </c>
      <c r="F3" s="54" t="inlineStr">
        <is>
          <t>Maximum</t>
        </is>
      </c>
    </row>
    <row r="4" ht="58" customHeight="1" s="64">
      <c r="A4" s="22" t="inlineStr">
        <is>
          <t>VM as Code avec cloud-init</t>
        </is>
      </c>
      <c r="B4" s="55" t="inlineStr">
        <is>
          <t>Cloud-init complet, clair, reproductible, réellement utile au déploiement.</t>
        </is>
      </c>
      <c r="C4" s="55" t="inlineStr">
        <is>
          <t>Cloud-init pertinent mais partiellement incomplet ou peu expliqué.</t>
        </is>
      </c>
      <c r="D4" s="55" t="inlineStr">
        <is>
          <t>Cloud-init minimal, partiel ou surtout décoratif.</t>
        </is>
      </c>
      <c r="E4" s="55" t="inlineStr">
        <is>
          <t>Absence de vrai cloud-init ou usage non démontré.</t>
        </is>
      </c>
      <c r="F4" s="56" t="n">
        <v>5</v>
      </c>
    </row>
    <row r="5" ht="58" customHeight="1" s="64">
      <c r="A5" s="22" t="inlineStr">
        <is>
          <t>Architecture et schéma</t>
        </is>
      </c>
      <c r="B5" s="55" t="inlineStr">
        <is>
          <t>Schéma clair, complet, juste et aligné avec le déploiement réel.</t>
        </is>
      </c>
      <c r="C5" s="55" t="inlineStr">
        <is>
          <t>Schéma généralement bon, avec quelques oublis mineurs.</t>
        </is>
      </c>
      <c r="D5" s="55" t="inlineStr">
        <is>
          <t>Schéma partiel, ambigu ou difficile à relier à la solution.</t>
        </is>
      </c>
      <c r="E5" s="55" t="inlineStr">
        <is>
          <t>Schéma absent ou incorrect.</t>
        </is>
      </c>
      <c r="F5" s="56" t="n">
        <v>5</v>
      </c>
    </row>
    <row r="6" ht="58" customHeight="1" s="64">
      <c r="A6" s="22" t="inlineStr">
        <is>
          <t>Déploiement conteneurisé</t>
        </is>
      </c>
      <c r="B6" s="55" t="inlineStr">
        <is>
          <t>Stack fonctionnelle, propre, stable et bien structurée.</t>
        </is>
      </c>
      <c r="C6" s="55" t="inlineStr">
        <is>
          <t>Stack presque complète avec quelques imprécisions mineures.</t>
        </is>
      </c>
      <c r="D6" s="55" t="inlineStr">
        <is>
          <t>Stack partiellement fonctionnelle ou difficile à reproduire.</t>
        </is>
      </c>
      <c r="E6" s="55" t="inlineStr">
        <is>
          <t>Solution non déployable ou incohérente.</t>
        </is>
      </c>
      <c r="F6" s="56" t="n">
        <v>3</v>
      </c>
    </row>
    <row r="7" ht="58" customHeight="1" s="64">
      <c r="A7" s="22" t="inlineStr">
        <is>
          <t>Sécurité des images</t>
        </is>
      </c>
      <c r="B7" s="55" t="inlineStr">
        <is>
          <t>Images bien choisies, versions explicites, scan ou justification convaincante.</t>
        </is>
      </c>
      <c r="C7" s="55" t="inlineStr">
        <is>
          <t>Bonnes pratiques visibles mais démonstration incomplète.</t>
        </is>
      </c>
      <c r="D7" s="55" t="inlineStr">
        <is>
          <t>Peu d'éléments de sécurité ou choix peu justifiés.</t>
        </is>
      </c>
      <c r="E7" s="55" t="inlineStr">
        <is>
          <t>Aucune preuve sérieuse de réflexion sur les images.</t>
        </is>
      </c>
      <c r="F7" s="56" t="n">
        <v>3</v>
      </c>
    </row>
    <row r="8" ht="58" customHeight="1" s="64">
      <c r="A8" s="22" t="inlineStr">
        <is>
          <t>Sécurité à l'exécution</t>
        </is>
      </c>
      <c r="B8" s="55" t="inlineStr">
        <is>
          <t>Bonnes pratiques visibles, expliquées et majoritairement appliquées.</t>
        </is>
      </c>
      <c r="C8" s="55" t="inlineStr">
        <is>
          <t>Plusieurs contrôles corrects, quelques écarts justifiés.</t>
        </is>
      </c>
      <c r="D8" s="55" t="inlineStr">
        <is>
          <t>Sécurité partielle ou surtout déclarative.</t>
        </is>
      </c>
      <c r="E8" s="55" t="inlineStr">
        <is>
          <t>Presque aucun durcissement réel.</t>
        </is>
      </c>
      <c r="F8" s="56" t="n">
        <v>5</v>
      </c>
    </row>
    <row r="9" ht="58" customHeight="1" s="64">
      <c r="A9" s="22" t="inlineStr">
        <is>
          <t>Segmentation réseau</t>
        </is>
      </c>
      <c r="B9" s="55" t="inlineStr">
        <is>
          <t>Segmentation claire, bien pensée et bien expliquée.</t>
        </is>
      </c>
      <c r="C9" s="55" t="inlineStr">
        <is>
          <t>Segmentation présente mais perfectible.</t>
        </is>
      </c>
      <c r="D9" s="55" t="inlineStr">
        <is>
          <t>Segmentation minimale ou peu cohérente.</t>
        </is>
      </c>
      <c r="E9" s="55" t="inlineStr">
        <is>
          <t>Réseau plat ou services sensibles exposés inutilement.</t>
        </is>
      </c>
      <c r="F9" s="56" t="n">
        <v>3</v>
      </c>
    </row>
    <row r="10" ht="58" customHeight="1" s="64">
      <c r="A10" s="22" t="inlineStr">
        <is>
          <t>Intégration Drupal Commerce → n8n → Moodle</t>
        </is>
      </c>
      <c r="B10" s="55" t="inlineStr">
        <is>
          <t>Flux cohérent, démontré, compréhensible et bien documenté.</t>
        </is>
      </c>
      <c r="C10" s="55" t="inlineStr">
        <is>
          <t>Flux présent mais partiellement simulé ou incomplet.</t>
        </is>
      </c>
      <c r="D10" s="55" t="inlineStr">
        <is>
          <t>Logique annoncée mais peu démontrée.</t>
        </is>
      </c>
      <c r="E10" s="55" t="inlineStr">
        <is>
          <t>Aucune intégration crédible entre les composants.</t>
        </is>
      </c>
      <c r="F10" s="56" t="n">
        <v>3</v>
      </c>
    </row>
    <row r="11" ht="58" customHeight="1" s="64">
      <c r="A11" s="22" t="inlineStr">
        <is>
          <t>IAM et SSO</t>
        </is>
      </c>
      <c r="B11" s="55" t="inlineStr">
        <is>
          <t>SSO fonctionnel, bien démontré et bien expliqué.</t>
        </is>
      </c>
      <c r="C11" s="55" t="inlineStr">
        <is>
          <t>SSO partiellement fonctionnel ou démonstration incomplète.</t>
        </is>
      </c>
      <c r="D11" s="55" t="inlineStr">
        <is>
          <t>Configuration présente mais peu convaincante.</t>
        </is>
      </c>
      <c r="E11" s="55" t="inlineStr">
        <is>
          <t>Absence de mise en œuvre réelle.</t>
        </is>
      </c>
      <c r="F11" s="56" t="n">
        <v>3</v>
      </c>
    </row>
    <row r="12" ht="58" customHeight="1" s="64">
      <c r="A12" s="22" t="inlineStr">
        <is>
          <t>Reverse proxy</t>
        </is>
      </c>
      <c r="B12" s="55" t="inlineStr">
        <is>
          <t>Proxy intégré et correctement expliqué.</t>
        </is>
      </c>
      <c r="C12" s="55" t="inlineStr">
        <is>
          <t>Présence partielle ou démonstration limitée.</t>
        </is>
      </c>
      <c r="D12" s="55" t="inlineStr">
        <is>
          <t>Compréhension faible, intégration incomplète.</t>
        </is>
      </c>
      <c r="E12" s="55" t="inlineStr">
        <is>
          <t>Absence ou incompréhension manifeste.</t>
        </is>
      </c>
      <c r="F12" s="56" t="n">
        <v>3</v>
      </c>
    </row>
    <row r="13" ht="58" customHeight="1" s="64">
      <c r="A13" s="22" t="inlineStr">
        <is>
          <t>Observabilité et exploitation</t>
        </is>
      </c>
      <c r="B13" s="55" t="inlineStr">
        <is>
          <t>Portainer CE opérationnel et utilisé intelligemment; diagnostic crédible montré.</t>
        </is>
      </c>
      <c r="C13" s="55" t="inlineStr">
        <is>
          <t>Portainer présent et exploité partiellement.</t>
        </is>
      </c>
      <c r="D13" s="55" t="inlineStr">
        <is>
          <t>Portainer peu exploité ou démonstration faible.</t>
        </is>
      </c>
      <c r="E13" s="55" t="inlineStr">
        <is>
          <t>Aucun usage pédagogique réel de l'observabilité.</t>
        </is>
      </c>
      <c r="F13" s="56" t="n">
        <v>3</v>
      </c>
    </row>
    <row r="14" ht="58" customHeight="1" s="64">
      <c r="A14" s="22" t="inlineStr">
        <is>
          <t>Qualité des livrables</t>
        </is>
      </c>
      <c r="B14" s="55" t="inlineStr">
        <is>
          <t>Tous les livrables sont complets, cohérents, clairs et professionnels.</t>
        </is>
      </c>
      <c r="C14" s="55" t="inlineStr">
        <is>
          <t>Très bons livrables avec quelques défauts mineurs.</t>
        </is>
      </c>
      <c r="D14" s="55" t="inlineStr">
        <is>
          <t>Livrables présents mais inégaux ou difficiles à exploiter.</t>
        </is>
      </c>
      <c r="E14" s="55" t="inlineStr">
        <is>
          <t>Plusieurs livrables absents, non accessibles ou de faible qualité.</t>
        </is>
      </c>
      <c r="F14" s="56" t="n">
        <v>4</v>
      </c>
    </row>
    <row r="15">
      <c r="A15" s="22" t="inlineStr">
        <is>
          <t>Bonus — WAF (OpenAppSec)</t>
        </is>
      </c>
      <c r="B15" s="55" t="inlineStr">
        <is>
          <t>WAF fonctionnel, en mode local, bien intégré et expliqué (+2).</t>
        </is>
      </c>
      <c r="C15" s="55" t="inlineStr">
        <is>
          <t>WAF présent mais partiel ou peu expliqué (+1).</t>
        </is>
      </c>
      <c r="D15" s="55" t="inlineStr">
        <is>
          <t>—</t>
        </is>
      </c>
      <c r="E15" s="55" t="inlineStr">
        <is>
          <t>Absent ou en mode cloud, aucun bonus (0).</t>
        </is>
      </c>
      <c r="F15" s="56" t="inlineStr">
        <is>
          <t>+2 (hors total)</t>
        </is>
      </c>
    </row>
  </sheetData>
  <mergeCells count="1">
    <mergeCell ref="A1:F1"/>
  </mergeCells>
  <pageMargins left="0.75" right="0.75" top="1" bottom="1" header="0.5" footer="0.5"/>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0"/>
  <sheetViews>
    <sheetView showGridLines="0" defaultGridColor="1" workbookViewId="0">
      <selection activeCell="A1" sqref="A1"/>
    </sheetView>
  </sheetViews>
  <sheetFormatPr baseColWidth="8" defaultColWidth="8.83333" defaultRowHeight="15" customHeight="1" outlineLevelRow="0"/>
  <cols>
    <col width="25" customWidth="1" style="57" min="1" max="1"/>
    <col width="42" customWidth="1" style="57" min="2" max="2"/>
    <col width="25" customWidth="1" style="57" min="3" max="4"/>
    <col width="8.851559999999999" customWidth="1" style="57" min="5" max="5"/>
    <col width="8.851559999999999" customWidth="1" style="57" min="6" max="16384"/>
  </cols>
  <sheetData>
    <row r="1" ht="19.45" customHeight="1" s="64">
      <c r="A1" s="52" t="inlineStr">
        <is>
          <t>Consignes de correction</t>
        </is>
      </c>
      <c r="B1" s="67" t="n"/>
      <c r="C1" s="67" t="n"/>
      <c r="D1" s="67" t="n"/>
      <c r="E1" s="9" t="n"/>
    </row>
    <row r="2" ht="13.55" customHeight="1" s="64">
      <c r="A2" s="58" t="n"/>
      <c r="B2" s="59" t="n"/>
      <c r="C2" s="59" t="n"/>
      <c r="D2" s="59" t="n"/>
      <c r="E2" s="12" t="n"/>
    </row>
    <row r="3" ht="52" customHeight="1" s="64">
      <c r="A3" s="60" t="inlineStr">
        <is>
          <t>Livrables à vérifier</t>
        </is>
      </c>
      <c r="B3" s="55" t="inlineStr">
        <is>
          <t>Vidéo M365/Stream; GitBook; GitHub; document Word ou PowerPoint de 10 pages maximum, page de garde comprise.</t>
        </is>
      </c>
      <c r="C3" s="73" t="n"/>
      <c r="D3" s="74" t="n"/>
      <c r="E3" s="61" t="n"/>
    </row>
    <row r="4" ht="52" customHeight="1" s="64">
      <c r="A4" s="60" t="inlineStr">
        <is>
          <t>Durée vidéo</t>
        </is>
      </c>
      <c r="B4" s="55" t="inlineStr">
        <is>
          <t>Durée maximale : 15 min 59 s, sans durée minimale exigée. Toute vidéo plus longue constitue une pénalité majeure.</t>
        </is>
      </c>
      <c r="C4" s="73" t="n"/>
      <c r="D4" s="74" t="n"/>
      <c r="E4" s="61" t="n"/>
    </row>
    <row r="5" ht="52" customHeight="1" s="64">
      <c r="A5" s="60" t="inlineStr">
        <is>
          <t>Scénario métier</t>
        </is>
      </c>
      <c r="B5" s="55" t="inlineStr">
        <is>
          <t>Drupal Commerce présente une formation; un paiement fictif, sandbox ou simulé déclenche n8n; n8n attribue ou synchronise un accès dans Moodle.</t>
        </is>
      </c>
      <c r="C5" s="73" t="n"/>
      <c r="D5" s="74" t="n"/>
      <c r="E5" s="61" t="n"/>
    </row>
    <row r="6" ht="52" customHeight="1" s="64">
      <c r="A6" s="60" t="inlineStr">
        <is>
          <t>Socle technique</t>
        </is>
      </c>
      <c r="B6" s="55" t="inlineStr">
        <is>
          <t>Une VM Linux initialisée par cloud-init; stack déployée avec Docker Compose; Traefik, Drupal Commerce, Moodle, Keycloak, n8n, Portainer CE et services de données pertinents; OpenAppSec (WAF) est un bonus optionnel, non requis.</t>
        </is>
      </c>
      <c r="C6" s="73" t="n"/>
      <c r="D6" s="74" t="n"/>
      <c r="E6" s="61" t="n"/>
    </row>
    <row r="7" ht="52" customHeight="1" s="64">
      <c r="A7" s="60" t="inlineStr">
        <is>
          <t>Correction</t>
        </is>
      </c>
      <c r="B7" s="55" t="inlineStr">
        <is>
          <t>Attribuer la note selon les preuves visibles dans la vidéo, le code du dépôt et la documentation. Une solution plus simple mais stable, sécurisée et expliquée vaut mieux qu’une solution ambitieuse mais non maîtrisée.</t>
        </is>
      </c>
      <c r="C7" s="73" t="n"/>
      <c r="D7" s="74" t="n"/>
      <c r="E7" s="61" t="n"/>
    </row>
    <row r="8" ht="52" customHeight="1" s="64">
      <c r="A8" s="60" t="inlineStr">
        <is>
          <t>Repères sécurité</t>
        </is>
      </c>
      <c r="B8" s="55" t="inlineStr">
        <is>
          <t>Vérifier le moindre privilège, l’absence de conteneurs privilégiés injustifiés, l’usage de versions explicites, une exposition minimale et une segmentation réseau cohérente.</t>
        </is>
      </c>
      <c r="C8" s="73" t="n"/>
      <c r="D8" s="74" t="n"/>
      <c r="E8" s="61" t="n"/>
    </row>
    <row r="9" ht="13.55" customHeight="1" s="64">
      <c r="A9" s="62" t="n"/>
      <c r="B9" s="44" t="n"/>
      <c r="C9" s="44" t="n"/>
      <c r="D9" s="44" t="n"/>
      <c r="E9" s="12" t="n"/>
    </row>
    <row r="10" ht="13.55" customHeight="1" s="64">
      <c r="A10" s="63" t="n"/>
      <c r="B10" s="49" t="n"/>
      <c r="C10" s="49" t="n"/>
      <c r="D10" s="49" t="n"/>
      <c r="E10" s="50" t="n"/>
    </row>
  </sheetData>
  <mergeCells count="7">
    <mergeCell ref="A1:D1"/>
    <mergeCell ref="B3:D3"/>
    <mergeCell ref="B5:D5"/>
    <mergeCell ref="B8:D8"/>
    <mergeCell ref="B4:D4"/>
    <mergeCell ref="B7:D7"/>
    <mergeCell ref="B6:D6"/>
  </mergeCells>
  <pageMargins left="0.75" right="0.75" top="1" bottom="1" header="0.5" footer="0.5"/>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2026-09-04T16:10:50Z</dcterms:created>
  <dcterms:modified xsi:type="dcterms:W3CDTF">2026-09-04T16:11:16Z</dcterms:modified>
</cp:coreProperties>
</file>